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GitHub\DSpy\admin\"/>
    </mc:Choice>
  </mc:AlternateContent>
  <bookViews>
    <workbookView xWindow="0" yWindow="0" windowWidth="21930" windowHeight="8160"/>
  </bookViews>
  <sheets>
    <sheet name="예산" sheetId="1" r:id="rId1"/>
    <sheet name="문구류" sheetId="6" r:id="rId2"/>
    <sheet name="도서구입" sheetId="4" r:id="rId3"/>
    <sheet name="연구환경비" sheetId="2" r:id="rId4"/>
    <sheet name="재료비" sheetId="3" r:id="rId5"/>
    <sheet name="회의비" sheetId="5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" i="6" l="1"/>
  <c r="I7" i="1" l="1"/>
  <c r="I8" i="1"/>
  <c r="I9" i="1"/>
  <c r="I12" i="1" s="1"/>
  <c r="I10" i="1"/>
  <c r="I11" i="1"/>
  <c r="E12" i="1" l="1"/>
  <c r="C4" i="4" l="1"/>
  <c r="C7" i="3"/>
  <c r="C6" i="2"/>
</calcChain>
</file>

<file path=xl/sharedStrings.xml><?xml version="1.0" encoding="utf-8"?>
<sst xmlns="http://schemas.openxmlformats.org/spreadsheetml/2006/main" count="44" uniqueCount="40">
  <si>
    <t>세목</t>
  </si>
  <si>
    <t>세세목</t>
  </si>
  <si>
    <t xml:space="preserve">예산 금액 </t>
  </si>
  <si>
    <t>집행 세부 사항</t>
  </si>
  <si>
    <t>인건비</t>
  </si>
  <si>
    <t>학생인건비</t>
  </si>
  <si>
    <t>200만원</t>
  </si>
  <si>
    <t>25만 x 8월 = 200만원</t>
  </si>
  <si>
    <t>연구재료비</t>
  </si>
  <si>
    <t>재료비</t>
  </si>
  <si>
    <t>50만원</t>
  </si>
  <si>
    <t>Mouse, Microphone, Speaker, USB Drive</t>
  </si>
  <si>
    <t>문헌구입비</t>
  </si>
  <si>
    <t>10만원</t>
  </si>
  <si>
    <t>사무용품비</t>
  </si>
  <si>
    <t>연구환경유지비</t>
  </si>
  <si>
    <t>회의비</t>
  </si>
  <si>
    <t>20만원</t>
  </si>
  <si>
    <t>연구활동비</t>
    <phoneticPr fontId="3" type="noConversion"/>
  </si>
  <si>
    <t>퓨렐 손소독제 손세정제 30ml(휴대용)</t>
  </si>
  <si>
    <t xml:space="preserve">퓨렐 손소독제 손세정제 236ml </t>
    <phoneticPr fontId="3" type="noConversion"/>
  </si>
  <si>
    <t>합계</t>
    <phoneticPr fontId="3" type="noConversion"/>
  </si>
  <si>
    <t xml:space="preserve">50매 K94대형 올데이 황사방역 마스크 </t>
    <phoneticPr fontId="3" type="noConversion"/>
  </si>
  <si>
    <t>누리케어 손소독 티슈 데이온 30매x12</t>
    <phoneticPr fontId="3" type="noConversion"/>
  </si>
  <si>
    <t xml:space="preserve">Logitech Streaming Cam 흰색 </t>
    <phoneticPr fontId="3" type="noConversion"/>
  </si>
  <si>
    <t>매틴 MA778 카메라 삼각대</t>
    <phoneticPr fontId="3" type="noConversion"/>
  </si>
  <si>
    <t>샌디스크 USB 512G</t>
    <phoneticPr fontId="3" type="noConversion"/>
  </si>
  <si>
    <t>삼성전자 삼성 SPA-KMA3PBW</t>
    <phoneticPr fontId="3" type="noConversion"/>
  </si>
  <si>
    <t>혼자 공부하는 머신러닝+딥러닝</t>
    <phoneticPr fontId="3" type="noConversion"/>
  </si>
  <si>
    <t>Grokking Algorithms: An Illustrated Guide for Programmers and Other Curious People</t>
    <phoneticPr fontId="3" type="noConversion"/>
  </si>
  <si>
    <t>교보문고</t>
    <phoneticPr fontId="3" type="noConversion"/>
  </si>
  <si>
    <t>집행</t>
    <phoneticPr fontId="3" type="noConversion"/>
  </si>
  <si>
    <t xml:space="preserve">회의비 </t>
    <phoneticPr fontId="3" type="noConversion"/>
  </si>
  <si>
    <t>집행합계</t>
    <phoneticPr fontId="3" type="noConversion"/>
  </si>
  <si>
    <t>합계</t>
    <phoneticPr fontId="3" type="noConversion"/>
  </si>
  <si>
    <t>크로마키</t>
    <phoneticPr fontId="3" type="noConversion"/>
  </si>
  <si>
    <t>크로마키</t>
    <phoneticPr fontId="3" type="noConversion"/>
  </si>
  <si>
    <t>벽걸이</t>
    <phoneticPr fontId="3" type="noConversion"/>
  </si>
  <si>
    <t>연장가로봉</t>
    <phoneticPr fontId="3" type="noConversion"/>
  </si>
  <si>
    <t>합계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</si>
</sst>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&quot;₩&quot;#,##0_);[Red]\(&quot;₩&quot;#,##0\)"/>
    <numFmt numFmtId="177" formatCode="mm&quot;월&quot;\ dd&quot;일&quot;"/>
  </numFmts>
  <fonts count="5" x14ac:knownFonts="1">
    <font>
      <sz val="11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rgb="FF222222"/>
      <name val="나눔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justify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4" fillId="0" borderId="0" xfId="0" applyFont="1">
      <alignment vertical="center"/>
    </xf>
    <xf numFmtId="0" fontId="0" fillId="3" borderId="0" xfId="0" applyFill="1">
      <alignment vertical="center"/>
    </xf>
    <xf numFmtId="176" fontId="0" fillId="0" borderId="0" xfId="0" applyNumberFormat="1">
      <alignment vertical="center"/>
    </xf>
    <xf numFmtId="176" fontId="0" fillId="3" borderId="0" xfId="0" applyNumberFormat="1" applyFill="1">
      <alignment vertical="center"/>
    </xf>
    <xf numFmtId="3" fontId="0" fillId="0" borderId="0" xfId="0" applyNumberFormat="1">
      <alignment vertical="center"/>
    </xf>
    <xf numFmtId="0" fontId="2" fillId="2" borderId="3" xfId="0" applyFont="1" applyFill="1" applyBorder="1" applyAlignment="1">
      <alignment horizontal="center" vertical="center" wrapText="1"/>
    </xf>
    <xf numFmtId="177" fontId="0" fillId="0" borderId="0" xfId="0" applyNumberFormat="1">
      <alignment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95250</xdr:rowOff>
    </xdr:to>
    <xdr:sp macro="" textlink="">
      <xdr:nvSpPr>
        <xdr:cNvPr id="3073" name="AutoShape 1" descr="image.png"/>
        <xdr:cNvSpPr>
          <a:spLocks noChangeAspect="1" noChangeArrowheads="1"/>
        </xdr:cNvSpPr>
      </xdr:nvSpPr>
      <xdr:spPr bwMode="auto">
        <a:xfrm>
          <a:off x="0" y="125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8</xdr:row>
      <xdr:rowOff>30479</xdr:rowOff>
    </xdr:from>
    <xdr:to>
      <xdr:col>4</xdr:col>
      <xdr:colOff>502437</xdr:colOff>
      <xdr:row>20</xdr:row>
      <xdr:rowOff>189432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1798319"/>
          <a:ext cx="5501157" cy="281071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9</xdr:col>
      <xdr:colOff>541794</xdr:colOff>
      <xdr:row>31</xdr:row>
      <xdr:rowOff>15414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861560"/>
          <a:ext cx="8931414" cy="200423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12</xdr:col>
      <xdr:colOff>458141</xdr:colOff>
      <xdr:row>51</xdr:row>
      <xdr:rowOff>7985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071360"/>
          <a:ext cx="10859441" cy="420660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22</xdr:row>
      <xdr:rowOff>44824</xdr:rowOff>
    </xdr:from>
    <xdr:to>
      <xdr:col>15</xdr:col>
      <xdr:colOff>209454</xdr:colOff>
      <xdr:row>35</xdr:row>
      <xdr:rowOff>17319</xdr:rowOff>
    </xdr:to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975412"/>
          <a:ext cx="12984160" cy="2886025"/>
        </a:xfrm>
        <a:prstGeom prst="rect">
          <a:avLst/>
        </a:prstGeom>
      </xdr:spPr>
    </xdr:pic>
    <xdr:clientData/>
  </xdr:twoCellAnchor>
  <xdr:twoCellAnchor editAs="oneCell">
    <xdr:from>
      <xdr:col>0</xdr:col>
      <xdr:colOff>98611</xdr:colOff>
      <xdr:row>34</xdr:row>
      <xdr:rowOff>107576</xdr:rowOff>
    </xdr:from>
    <xdr:to>
      <xdr:col>10</xdr:col>
      <xdr:colOff>419494</xdr:colOff>
      <xdr:row>47</xdr:row>
      <xdr:rowOff>176411</xdr:rowOff>
    </xdr:to>
    <xdr:pic>
      <xdr:nvPicPr>
        <xdr:cNvPr id="7" name="그림 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611" y="7727576"/>
          <a:ext cx="9733824" cy="29823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10</xdr:col>
      <xdr:colOff>280539</xdr:colOff>
      <xdr:row>20</xdr:row>
      <xdr:rowOff>25278</xdr:rowOff>
    </xdr:to>
    <xdr:pic>
      <xdr:nvPicPr>
        <xdr:cNvPr id="8" name="그림 7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465294"/>
          <a:ext cx="9693480" cy="204233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11</xdr:col>
      <xdr:colOff>187356</xdr:colOff>
      <xdr:row>67</xdr:row>
      <xdr:rowOff>81040</xdr:rowOff>
    </xdr:to>
    <xdr:pic>
      <xdr:nvPicPr>
        <xdr:cNvPr id="9" name="그림 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0981765"/>
          <a:ext cx="10272650" cy="41151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I20"/>
  <sheetViews>
    <sheetView tabSelected="1" workbookViewId="0">
      <selection activeCell="J17" sqref="J17"/>
    </sheetView>
  </sheetViews>
  <sheetFormatPr defaultRowHeight="16.5" x14ac:dyDescent="0.3"/>
  <cols>
    <col min="1" max="1" width="11.75" customWidth="1"/>
    <col min="2" max="2" width="13.75" customWidth="1"/>
    <col min="3" max="3" width="10.625" customWidth="1"/>
    <col min="4" max="4" width="34.75" customWidth="1"/>
  </cols>
  <sheetData>
    <row r="4" spans="1:9" ht="17.25" thickBot="1" x14ac:dyDescent="0.35"/>
    <row r="5" spans="1:9" ht="17.25" thickBot="1" x14ac:dyDescent="0.35">
      <c r="A5" s="1" t="s">
        <v>0</v>
      </c>
      <c r="B5" s="1" t="s">
        <v>1</v>
      </c>
      <c r="C5" s="1" t="s">
        <v>2</v>
      </c>
      <c r="D5" s="1" t="s">
        <v>3</v>
      </c>
      <c r="E5" s="11" t="s">
        <v>31</v>
      </c>
      <c r="I5" t="s">
        <v>34</v>
      </c>
    </row>
    <row r="6" spans="1:9" ht="17.25" thickBot="1" x14ac:dyDescent="0.35">
      <c r="A6" s="2" t="s">
        <v>4</v>
      </c>
      <c r="B6" s="2" t="s">
        <v>5</v>
      </c>
      <c r="C6" s="3" t="s">
        <v>6</v>
      </c>
      <c r="D6" s="4" t="s">
        <v>7</v>
      </c>
    </row>
    <row r="7" spans="1:9" ht="17.25" thickBot="1" x14ac:dyDescent="0.35">
      <c r="A7" s="2" t="s">
        <v>8</v>
      </c>
      <c r="B7" s="2" t="s">
        <v>9</v>
      </c>
      <c r="C7" s="3" t="s">
        <v>10</v>
      </c>
      <c r="D7" s="4" t="s">
        <v>11</v>
      </c>
      <c r="E7">
        <v>485190</v>
      </c>
      <c r="I7">
        <f t="shared" ref="I7:I10" si="0">SUM(E7:H7)</f>
        <v>485190</v>
      </c>
    </row>
    <row r="8" spans="1:9" ht="17.25" thickBot="1" x14ac:dyDescent="0.35">
      <c r="A8" s="13" t="s">
        <v>18</v>
      </c>
      <c r="B8" s="2" t="s">
        <v>12</v>
      </c>
      <c r="C8" s="3" t="s">
        <v>13</v>
      </c>
      <c r="D8" s="4"/>
      <c r="E8">
        <v>80300</v>
      </c>
      <c r="I8">
        <f t="shared" si="0"/>
        <v>80300</v>
      </c>
    </row>
    <row r="9" spans="1:9" ht="17.25" thickBot="1" x14ac:dyDescent="0.35">
      <c r="A9" s="14"/>
      <c r="B9" s="2" t="s">
        <v>14</v>
      </c>
      <c r="C9" s="3" t="s">
        <v>13</v>
      </c>
      <c r="D9" s="4" t="s">
        <v>35</v>
      </c>
      <c r="E9">
        <v>73000</v>
      </c>
      <c r="I9">
        <f t="shared" si="0"/>
        <v>73000</v>
      </c>
    </row>
    <row r="10" spans="1:9" ht="17.25" thickBot="1" x14ac:dyDescent="0.35">
      <c r="A10" s="14"/>
      <c r="B10" s="2" t="s">
        <v>15</v>
      </c>
      <c r="C10" s="3" t="s">
        <v>13</v>
      </c>
      <c r="D10" s="4"/>
      <c r="E10">
        <v>101700</v>
      </c>
      <c r="I10">
        <f t="shared" si="0"/>
        <v>101700</v>
      </c>
    </row>
    <row r="11" spans="1:9" ht="17.25" thickBot="1" x14ac:dyDescent="0.35">
      <c r="A11" s="15"/>
      <c r="B11" s="2" t="s">
        <v>16</v>
      </c>
      <c r="C11" s="3" t="s">
        <v>17</v>
      </c>
      <c r="D11" s="4"/>
      <c r="E11">
        <v>37000</v>
      </c>
      <c r="F11">
        <v>48500</v>
      </c>
      <c r="I11">
        <f>SUM(E11:H11)</f>
        <v>85500</v>
      </c>
    </row>
    <row r="12" spans="1:9" x14ac:dyDescent="0.3">
      <c r="D12" t="s">
        <v>33</v>
      </c>
      <c r="E12">
        <f>SUM(E6:E11)</f>
        <v>777190</v>
      </c>
      <c r="I12">
        <f>SUM(I7:I11)</f>
        <v>825690</v>
      </c>
    </row>
    <row r="20" spans="2:2" x14ac:dyDescent="0.3">
      <c r="B20" s="5"/>
    </row>
  </sheetData>
  <mergeCells count="1">
    <mergeCell ref="A8:A1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6"/>
  <sheetViews>
    <sheetView workbookViewId="0">
      <selection activeCell="C7" sqref="C7"/>
    </sheetView>
  </sheetViews>
  <sheetFormatPr defaultRowHeight="16.5" x14ac:dyDescent="0.3"/>
  <sheetData>
    <row r="3" spans="1:3" x14ac:dyDescent="0.3">
      <c r="A3" t="s">
        <v>36</v>
      </c>
      <c r="C3">
        <v>26000</v>
      </c>
    </row>
    <row r="4" spans="1:3" x14ac:dyDescent="0.3">
      <c r="A4" t="s">
        <v>37</v>
      </c>
      <c r="C4">
        <v>9000</v>
      </c>
    </row>
    <row r="5" spans="1:3" x14ac:dyDescent="0.3">
      <c r="A5" t="s">
        <v>38</v>
      </c>
      <c r="C5">
        <v>38000</v>
      </c>
    </row>
    <row r="6" spans="1:3" x14ac:dyDescent="0.3">
      <c r="B6" t="s">
        <v>39</v>
      </c>
      <c r="C6">
        <f>SUM(C3:C5)</f>
        <v>73000</v>
      </c>
    </row>
  </sheetData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C8" sqref="C8"/>
    </sheetView>
  </sheetViews>
  <sheetFormatPr defaultRowHeight="16.5" x14ac:dyDescent="0.3"/>
  <cols>
    <col min="1" max="1" width="63.125" customWidth="1"/>
  </cols>
  <sheetData>
    <row r="1" spans="1:3" x14ac:dyDescent="0.3">
      <c r="A1" t="s">
        <v>30</v>
      </c>
    </row>
    <row r="2" spans="1:3" x14ac:dyDescent="0.3">
      <c r="A2" t="s">
        <v>28</v>
      </c>
      <c r="C2" s="10">
        <v>26000</v>
      </c>
    </row>
    <row r="3" spans="1:3" x14ac:dyDescent="0.3">
      <c r="A3" t="s">
        <v>29</v>
      </c>
      <c r="C3" s="10">
        <v>54300</v>
      </c>
    </row>
    <row r="4" spans="1:3" x14ac:dyDescent="0.3">
      <c r="B4" t="s">
        <v>21</v>
      </c>
      <c r="C4" s="10">
        <f>SUM(C2:C3)</f>
        <v>80300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6"/>
  <sheetViews>
    <sheetView workbookViewId="0">
      <selection activeCell="C6" sqref="C6"/>
    </sheetView>
  </sheetViews>
  <sheetFormatPr defaultRowHeight="16.5" x14ac:dyDescent="0.3"/>
  <cols>
    <col min="1" max="1" width="39.75" customWidth="1"/>
  </cols>
  <sheetData>
    <row r="2" spans="1:3" x14ac:dyDescent="0.3">
      <c r="A2" s="6" t="s">
        <v>19</v>
      </c>
      <c r="B2">
        <v>5</v>
      </c>
      <c r="C2">
        <v>34000</v>
      </c>
    </row>
    <row r="3" spans="1:3" x14ac:dyDescent="0.3">
      <c r="A3" s="6" t="s">
        <v>20</v>
      </c>
      <c r="B3">
        <v>4</v>
      </c>
      <c r="C3">
        <v>19200</v>
      </c>
    </row>
    <row r="4" spans="1:3" x14ac:dyDescent="0.3">
      <c r="A4" t="s">
        <v>22</v>
      </c>
      <c r="B4">
        <v>1</v>
      </c>
      <c r="C4">
        <v>20500</v>
      </c>
    </row>
    <row r="5" spans="1:3" x14ac:dyDescent="0.3">
      <c r="A5" t="s">
        <v>23</v>
      </c>
      <c r="B5">
        <v>1</v>
      </c>
      <c r="C5">
        <v>28000</v>
      </c>
    </row>
    <row r="6" spans="1:3" x14ac:dyDescent="0.3">
      <c r="B6" t="s">
        <v>21</v>
      </c>
      <c r="C6" s="7">
        <f>SUM(C2:C5)</f>
        <v>101700</v>
      </c>
    </row>
  </sheetData>
  <phoneticPr fontId="3" type="noConversion"/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7"/>
  <sheetViews>
    <sheetView zoomScale="85" zoomScaleNormal="85" workbookViewId="0">
      <selection activeCell="B7" sqref="B7"/>
    </sheetView>
  </sheetViews>
  <sheetFormatPr defaultRowHeight="16.5" x14ac:dyDescent="0.3"/>
  <cols>
    <col min="1" max="1" width="43.25" customWidth="1"/>
    <col min="3" max="3" width="9.75" bestFit="1" customWidth="1"/>
  </cols>
  <sheetData>
    <row r="3" spans="1:3" x14ac:dyDescent="0.3">
      <c r="A3" t="s">
        <v>24</v>
      </c>
      <c r="B3">
        <v>1</v>
      </c>
      <c r="C3" s="8">
        <v>156790</v>
      </c>
    </row>
    <row r="4" spans="1:3" x14ac:dyDescent="0.3">
      <c r="A4" t="s">
        <v>25</v>
      </c>
      <c r="B4">
        <v>1</v>
      </c>
      <c r="C4" s="8">
        <v>36400</v>
      </c>
    </row>
    <row r="5" spans="1:3" x14ac:dyDescent="0.3">
      <c r="A5" t="s">
        <v>26</v>
      </c>
      <c r="B5">
        <v>3</v>
      </c>
      <c r="C5" s="8">
        <v>267600</v>
      </c>
    </row>
    <row r="6" spans="1:3" x14ac:dyDescent="0.3">
      <c r="A6" t="s">
        <v>27</v>
      </c>
      <c r="B6">
        <v>1</v>
      </c>
      <c r="C6" s="8">
        <v>24400</v>
      </c>
    </row>
    <row r="7" spans="1:3" x14ac:dyDescent="0.3">
      <c r="A7" t="s">
        <v>21</v>
      </c>
      <c r="C7" s="9">
        <f>SUM(C3:C6)</f>
        <v>485190</v>
      </c>
    </row>
  </sheetData>
  <phoneticPr fontId="3" type="noConversion"/>
  <pageMargins left="0.7" right="0.7" top="0.75" bottom="0.75" header="0.3" footer="0.3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2"/>
  <sheetViews>
    <sheetView workbookViewId="0">
      <selection activeCell="A3" sqref="A3"/>
    </sheetView>
  </sheetViews>
  <sheetFormatPr defaultRowHeight="16.5" x14ac:dyDescent="0.3"/>
  <cols>
    <col min="2" max="2" width="9.625" bestFit="1" customWidth="1"/>
  </cols>
  <sheetData>
    <row r="2" spans="1:3" x14ac:dyDescent="0.3">
      <c r="A2" t="s">
        <v>32</v>
      </c>
      <c r="B2" s="12">
        <v>44344</v>
      </c>
      <c r="C2">
        <v>37000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예산</vt:lpstr>
      <vt:lpstr>문구류</vt:lpstr>
      <vt:lpstr>도서구입</vt:lpstr>
      <vt:lpstr>연구환경비</vt:lpstr>
      <vt:lpstr>재료비</vt:lpstr>
      <vt:lpstr>회의비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2021-05-28T01:51:31Z</dcterms:created>
  <dcterms:modified xsi:type="dcterms:W3CDTF">2021-06-13T09:00:51Z</dcterms:modified>
</cp:coreProperties>
</file>